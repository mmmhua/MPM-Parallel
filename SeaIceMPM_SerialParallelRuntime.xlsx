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ice论文\"/>
    </mc:Choice>
  </mc:AlternateContent>
  <xr:revisionPtr revIDLastSave="0" documentId="13_ncr:1_{17CEBCCD-6A02-44D1-8659-C5EC1FFBB808}" xr6:coauthVersionLast="47" xr6:coauthVersionMax="47" xr10:uidLastSave="{00000000-0000-0000-0000-000000000000}"/>
  <bookViews>
    <workbookView xWindow="-120" yWindow="-120" windowWidth="29040" windowHeight="15720" xr2:uid="{546F808B-756B-47D0-936B-7B6B499566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1" l="1"/>
  <c r="B25" i="1"/>
  <c r="B24" i="1"/>
  <c r="B23" i="1"/>
  <c r="I29" i="1"/>
  <c r="K29" i="1" s="1"/>
  <c r="K27" i="1"/>
  <c r="S18" i="1"/>
  <c r="S19" i="1"/>
  <c r="S20" i="1"/>
  <c r="S21" i="1"/>
  <c r="S17" i="1"/>
  <c r="R18" i="1"/>
  <c r="R19" i="1"/>
  <c r="R20" i="1"/>
  <c r="R21" i="1"/>
  <c r="R17" i="1"/>
  <c r="P18" i="1"/>
  <c r="P19" i="1"/>
  <c r="P20" i="1"/>
  <c r="P21" i="1"/>
  <c r="P17" i="1"/>
  <c r="M18" i="1"/>
  <c r="M19" i="1"/>
  <c r="M20" i="1"/>
  <c r="M21" i="1"/>
  <c r="M17" i="1"/>
  <c r="O21" i="1"/>
  <c r="O18" i="1"/>
  <c r="O19" i="1"/>
  <c r="O20" i="1"/>
  <c r="O17" i="1"/>
  <c r="E19" i="1"/>
  <c r="E18" i="1"/>
  <c r="E17" i="1"/>
  <c r="E20" i="1"/>
  <c r="D20" i="1"/>
  <c r="D17" i="1"/>
  <c r="O3" i="1"/>
  <c r="P3" i="1" s="1"/>
  <c r="O2" i="1"/>
  <c r="P2" i="1" s="1"/>
  <c r="H3" i="1"/>
  <c r="I3" i="1" s="1"/>
  <c r="H2" i="1"/>
  <c r="I2" i="1" s="1"/>
  <c r="N3" i="1"/>
  <c r="G7" i="1"/>
  <c r="H7" i="1" s="1"/>
  <c r="I7" i="1" s="1"/>
  <c r="N8" i="1"/>
  <c r="M4" i="1"/>
  <c r="N4" i="1" s="1"/>
  <c r="O4" i="1" s="1"/>
  <c r="P4" i="1" s="1"/>
  <c r="M5" i="1"/>
  <c r="N5" i="1" s="1"/>
  <c r="O5" i="1" s="1"/>
  <c r="P5" i="1" s="1"/>
  <c r="M6" i="1"/>
  <c r="N6" i="1" s="1"/>
  <c r="O6" i="1" s="1"/>
  <c r="P6" i="1" s="1"/>
  <c r="M7" i="1"/>
  <c r="N7" i="1" s="1"/>
  <c r="O7" i="1" s="1"/>
  <c r="P7" i="1" s="1"/>
  <c r="F5" i="1"/>
  <c r="G5" i="1" s="1"/>
  <c r="H5" i="1" s="1"/>
  <c r="I5" i="1" s="1"/>
  <c r="F6" i="1"/>
  <c r="G6" i="1" s="1"/>
  <c r="H6" i="1" s="1"/>
  <c r="I6" i="1" s="1"/>
  <c r="F4" i="1"/>
  <c r="G4" i="1" s="1"/>
  <c r="H4" i="1" s="1"/>
  <c r="I4" i="1" s="1"/>
</calcChain>
</file>

<file path=xl/sharedStrings.xml><?xml version="1.0" encoding="utf-8"?>
<sst xmlns="http://schemas.openxmlformats.org/spreadsheetml/2006/main" count="35" uniqueCount="30">
  <si>
    <t>单轴</t>
    <phoneticPr fontId="2" type="noConversion"/>
  </si>
  <si>
    <t>三点</t>
    <phoneticPr fontId="2" type="noConversion"/>
  </si>
  <si>
    <t>t</t>
    <phoneticPr fontId="2" type="noConversion"/>
  </si>
  <si>
    <r>
      <rPr>
        <sz val="11"/>
        <color theme="1"/>
        <rFont val="Times New Roman"/>
        <family val="1"/>
        <charset val="178"/>
      </rPr>
      <t>‏</t>
    </r>
    <r>
      <rPr>
        <sz val="11"/>
        <color theme="1"/>
        <rFont val="Times New Roman"/>
        <family val="1"/>
        <charset val="1"/>
      </rPr>
      <t>‎</t>
    </r>
    <r>
      <rPr>
        <sz val="11"/>
        <color theme="1"/>
        <rFont val="等线"/>
        <family val="2"/>
        <charset val="134"/>
        <scheme val="minor"/>
      </rPr>
      <t>10:56:58</t>
    </r>
    <phoneticPr fontId="2" type="noConversion"/>
  </si>
  <si>
    <r>
      <rPr>
        <sz val="11"/>
        <color theme="1"/>
        <rFont val="Times New Roman"/>
        <family val="1"/>
        <charset val="178"/>
      </rPr>
      <t>‏</t>
    </r>
    <r>
      <rPr>
        <sz val="11"/>
        <color theme="1"/>
        <rFont val="Times New Roman"/>
        <family val="1"/>
        <charset val="1"/>
      </rPr>
      <t>‎</t>
    </r>
    <r>
      <rPr>
        <sz val="11"/>
        <color theme="1"/>
        <rFont val="等线"/>
        <family val="1"/>
        <charset val="134"/>
      </rPr>
      <t>7:54:02</t>
    </r>
    <phoneticPr fontId="2" type="noConversion"/>
  </si>
  <si>
    <t>加速比</t>
    <phoneticPr fontId="2" type="noConversion"/>
  </si>
  <si>
    <t>并行效率</t>
    <phoneticPr fontId="2" type="noConversion"/>
  </si>
  <si>
    <t>17万</t>
    <phoneticPr fontId="2" type="noConversion"/>
  </si>
  <si>
    <t>91万</t>
    <phoneticPr fontId="2" type="noConversion"/>
  </si>
  <si>
    <t>217万</t>
    <phoneticPr fontId="2" type="noConversion"/>
  </si>
  <si>
    <t>136万</t>
    <phoneticPr fontId="2" type="noConversion"/>
  </si>
  <si>
    <t>47万</t>
    <phoneticPr fontId="2" type="noConversion"/>
  </si>
  <si>
    <t>串</t>
    <phoneticPr fontId="2" type="noConversion"/>
  </si>
  <si>
    <t>并</t>
    <phoneticPr fontId="2" type="noConversion"/>
  </si>
  <si>
    <r>
      <t>‏‎</t>
    </r>
    <r>
      <rPr>
        <sz val="11"/>
        <color theme="1"/>
        <rFont val="等线"/>
        <family val="2"/>
        <charset val="134"/>
        <scheme val="minor"/>
      </rPr>
      <t>18:36:44</t>
    </r>
  </si>
  <si>
    <t>‏‎1:46:54</t>
  </si>
  <si>
    <t>time</t>
    <phoneticPr fontId="2" type="noConversion"/>
  </si>
  <si>
    <r>
      <t>‏‎</t>
    </r>
    <r>
      <rPr>
        <sz val="11"/>
        <color theme="1"/>
        <rFont val="等线"/>
        <family val="2"/>
        <charset val="134"/>
        <scheme val="minor"/>
      </rPr>
      <t>19:25:08</t>
    </r>
  </si>
  <si>
    <r>
      <t>‏‎</t>
    </r>
    <r>
      <rPr>
        <sz val="11"/>
        <color theme="1"/>
        <rFont val="等线"/>
        <family val="2"/>
        <charset val="134"/>
        <scheme val="minor"/>
      </rPr>
      <t>2:46:26</t>
    </r>
  </si>
  <si>
    <r>
      <t>‏‎</t>
    </r>
    <r>
      <rPr>
        <sz val="11"/>
        <color theme="1"/>
        <rFont val="等线"/>
        <family val="2"/>
        <charset val="134"/>
        <scheme val="minor"/>
      </rPr>
      <t>9:07:44</t>
    </r>
  </si>
  <si>
    <r>
      <t>‏‎</t>
    </r>
    <r>
      <rPr>
        <sz val="11"/>
        <color theme="1"/>
        <rFont val="等线"/>
        <family val="2"/>
        <charset val="134"/>
        <scheme val="minor"/>
      </rPr>
      <t>9:56:36</t>
    </r>
  </si>
  <si>
    <r>
      <t>‏‎</t>
    </r>
    <r>
      <rPr>
        <sz val="11"/>
        <color theme="1"/>
        <rFont val="等线"/>
        <family val="2"/>
        <charset val="134"/>
        <scheme val="minor"/>
      </rPr>
      <t>11:27:02</t>
    </r>
  </si>
  <si>
    <r>
      <t>‏‎</t>
    </r>
    <r>
      <rPr>
        <sz val="11"/>
        <color theme="1"/>
        <rFont val="等线"/>
        <family val="2"/>
        <charset val="134"/>
        <scheme val="minor"/>
      </rPr>
      <t>14:47:46</t>
    </r>
  </si>
  <si>
    <r>
      <t>‏‎</t>
    </r>
    <r>
      <rPr>
        <sz val="11"/>
        <color theme="1"/>
        <rFont val="等线"/>
        <family val="2"/>
        <charset val="134"/>
        <scheme val="minor"/>
      </rPr>
      <t>1:50:24</t>
    </r>
  </si>
  <si>
    <r>
      <t>‏‎</t>
    </r>
    <r>
      <rPr>
        <sz val="11"/>
        <color theme="1"/>
        <rFont val="等线"/>
        <family val="2"/>
        <charset val="134"/>
        <scheme val="minor"/>
      </rPr>
      <t>9:34:30</t>
    </r>
  </si>
  <si>
    <r>
      <t>‏‎</t>
    </r>
    <r>
      <rPr>
        <sz val="11"/>
        <color theme="1"/>
        <rFont val="等线"/>
        <family val="2"/>
        <charset val="134"/>
        <scheme val="minor"/>
      </rPr>
      <t>4:05:30</t>
    </r>
  </si>
  <si>
    <r>
      <t>‏‎</t>
    </r>
    <r>
      <rPr>
        <sz val="11"/>
        <color theme="1"/>
        <rFont val="等线"/>
        <family val="2"/>
        <charset val="134"/>
        <scheme val="minor"/>
      </rPr>
      <t>6:28:32</t>
    </r>
  </si>
  <si>
    <r>
      <t>‏‎</t>
    </r>
    <r>
      <rPr>
        <sz val="11"/>
        <color theme="1"/>
        <rFont val="等线"/>
        <family val="2"/>
        <charset val="134"/>
        <scheme val="minor"/>
      </rPr>
      <t>9:01:00</t>
    </r>
  </si>
  <si>
    <t>10time</t>
    <phoneticPr fontId="2" type="noConversion"/>
  </si>
  <si>
    <t>25:54:44m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</si>
</sst>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h:mm:ss;@"/>
    <numFmt numFmtId="181" formatCode="0.00_);[Red]\(0.00\)"/>
  </numFmts>
  <fonts count="1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1"/>
      <charset val="178"/>
      <scheme val="minor"/>
    </font>
    <font>
      <sz val="11"/>
      <color theme="1"/>
      <name val="等线"/>
      <family val="1"/>
      <charset val="1"/>
      <scheme val="minor"/>
    </font>
    <font>
      <sz val="11"/>
      <color theme="1"/>
      <name val="等线"/>
      <family val="1"/>
      <charset val="178"/>
    </font>
    <font>
      <sz val="11"/>
      <color theme="1"/>
      <name val="Times New Roman"/>
      <family val="1"/>
      <charset val="178"/>
    </font>
    <font>
      <sz val="11"/>
      <color theme="1"/>
      <name val="Times New Roman"/>
      <family val="1"/>
      <charset val="1"/>
    </font>
    <font>
      <sz val="11"/>
      <color theme="1"/>
      <name val="等线"/>
      <family val="1"/>
      <charset val="134"/>
    </font>
    <font>
      <sz val="11"/>
      <color rgb="FF0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21" fontId="0" fillId="0" borderId="0" xfId="0" applyNumberFormat="1">
      <alignment vertical="center"/>
    </xf>
    <xf numFmtId="176" fontId="0" fillId="0" borderId="0" xfId="0" applyNumberFormat="1">
      <alignment vertical="center"/>
    </xf>
    <xf numFmtId="176" fontId="1" fillId="0" borderId="0" xfId="0" applyNumberFormat="1" applyFont="1">
      <alignment vertical="center"/>
    </xf>
    <xf numFmtId="176" fontId="3" fillId="0" borderId="0" xfId="0" applyNumberFormat="1" applyFont="1">
      <alignment vertical="center"/>
    </xf>
    <xf numFmtId="176" fontId="4" fillId="0" borderId="0" xfId="0" applyNumberFormat="1" applyFont="1" applyAlignment="1">
      <alignment horizontal="right" vertical="center"/>
    </xf>
    <xf numFmtId="21" fontId="1" fillId="0" borderId="0" xfId="0" applyNumberFormat="1" applyFont="1">
      <alignment vertical="center"/>
    </xf>
    <xf numFmtId="21" fontId="5" fillId="0" borderId="0" xfId="0" applyNumberFormat="1" applyFont="1">
      <alignment vertical="center"/>
    </xf>
    <xf numFmtId="21" fontId="3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0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0" borderId="0" xfId="0" applyNumberFormat="1">
      <alignment vertical="center"/>
    </xf>
    <xf numFmtId="0" fontId="1" fillId="0" borderId="0" xfId="0" applyNumberFormat="1" applyFont="1">
      <alignment vertical="center"/>
    </xf>
    <xf numFmtId="0" fontId="0" fillId="0" borderId="0" xfId="0" applyAlignment="1">
      <alignment horizontal="center" vertical="center"/>
    </xf>
    <xf numFmtId="181" fontId="9" fillId="0" borderId="1" xfId="0" applyNumberFormat="1" applyFont="1" applyBorder="1" applyAlignment="1">
      <alignment horizontal="center" vertical="center" wrapText="1"/>
    </xf>
    <xf numFmtId="181" fontId="9" fillId="0" borderId="0" xfId="0" applyNumberFormat="1" applyFont="1" applyAlignment="1">
      <alignment horizontal="center" vertical="center" wrapText="1"/>
    </xf>
    <xf numFmtId="181" fontId="9" fillId="0" borderId="2" xfId="0" applyNumberFormat="1" applyFont="1" applyBorder="1" applyAlignment="1">
      <alignment horizontal="center" vertical="center" wrapText="1"/>
    </xf>
    <xf numFmtId="18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E7ABD-3B2C-443B-9605-B7CC475B1B87}">
  <dimension ref="A1:S29"/>
  <sheetViews>
    <sheetView tabSelected="1" workbookViewId="0">
      <selection activeCell="B23" sqref="B23:F27"/>
    </sheetView>
  </sheetViews>
  <sheetFormatPr defaultRowHeight="14.25" x14ac:dyDescent="0.2"/>
  <cols>
    <col min="2" max="3" width="14" style="2" customWidth="1"/>
    <col min="4" max="5" width="11.375" style="2" customWidth="1"/>
    <col min="6" max="6" width="9" style="2"/>
    <col min="11" max="11" width="28.125" customWidth="1"/>
    <col min="12" max="12" width="13.125" bestFit="1" customWidth="1"/>
    <col min="13" max="13" width="18.75" customWidth="1"/>
  </cols>
  <sheetData>
    <row r="1" spans="1:19" x14ac:dyDescent="0.2">
      <c r="A1" t="s">
        <v>0</v>
      </c>
      <c r="G1" t="s">
        <v>2</v>
      </c>
      <c r="H1" t="s">
        <v>5</v>
      </c>
      <c r="I1" t="s">
        <v>6</v>
      </c>
      <c r="J1" t="s">
        <v>1</v>
      </c>
    </row>
    <row r="2" spans="1:19" x14ac:dyDescent="0.2">
      <c r="A2">
        <v>1</v>
      </c>
      <c r="G2">
        <v>3317.6647304124954</v>
      </c>
      <c r="H2">
        <f>$G$2/G2</f>
        <v>1</v>
      </c>
      <c r="I2" s="10">
        <f>H2/A2*100%</f>
        <v>1</v>
      </c>
      <c r="J2">
        <v>1</v>
      </c>
      <c r="N2">
        <v>4184.076</v>
      </c>
      <c r="O2">
        <f>$N$2/N2</f>
        <v>1</v>
      </c>
      <c r="P2" s="10">
        <f>O2/J2</f>
        <v>1</v>
      </c>
    </row>
    <row r="3" spans="1:19" x14ac:dyDescent="0.2">
      <c r="A3">
        <v>2</v>
      </c>
      <c r="F3" s="2">
        <v>0.91673611111111108</v>
      </c>
      <c r="G3">
        <v>1751.098</v>
      </c>
      <c r="H3">
        <f t="shared" ref="H3:H7" si="0">$G$2/G3</f>
        <v>1.8946196788600611</v>
      </c>
      <c r="I3" s="10">
        <f t="shared" ref="I3:I7" si="1">H3/A3*100%</f>
        <v>0.94730983943003055</v>
      </c>
      <c r="J3">
        <v>2</v>
      </c>
      <c r="N3">
        <f>37*60+12+18/60</f>
        <v>2232.3000000000002</v>
      </c>
      <c r="O3">
        <f t="shared" ref="O3:O7" si="2">$N$2/N3</f>
        <v>1.8743340948797202</v>
      </c>
      <c r="P3" s="10">
        <f t="shared" ref="P3:P7" si="3">O3/J3</f>
        <v>0.93716704743986012</v>
      </c>
    </row>
    <row r="4" spans="1:19" x14ac:dyDescent="0.2">
      <c r="A4">
        <v>4</v>
      </c>
      <c r="B4" s="2">
        <v>0.27532407407407405</v>
      </c>
      <c r="D4" s="4">
        <v>0.90729166666666672</v>
      </c>
      <c r="E4" s="4"/>
      <c r="F4" s="2">
        <f>D4-B4</f>
        <v>0.63196759259259272</v>
      </c>
      <c r="G4">
        <f>HOUR(F4)*60 + MINUTE(F4) + SECOND(F4)/60</f>
        <v>910.0333333333333</v>
      </c>
      <c r="H4">
        <f t="shared" si="0"/>
        <v>3.64565187767389</v>
      </c>
      <c r="I4" s="10">
        <f t="shared" si="1"/>
        <v>0.9114129694184725</v>
      </c>
      <c r="J4">
        <v>4</v>
      </c>
      <c r="K4" s="1">
        <v>0.28087962962962965</v>
      </c>
      <c r="L4" s="1">
        <v>7.7800925925925926E-2</v>
      </c>
      <c r="M4" s="1">
        <f>1+L4-K4</f>
        <v>0.79692129629629638</v>
      </c>
      <c r="N4">
        <f t="shared" ref="N4:N8" si="4">HOUR(M4)*60 + MINUTE(M4) + SECOND(M4)/60</f>
        <v>1147.5666666666666</v>
      </c>
      <c r="O4">
        <f t="shared" si="2"/>
        <v>3.6460417695413487</v>
      </c>
      <c r="P4" s="10">
        <f t="shared" si="3"/>
        <v>0.91151044238533718</v>
      </c>
    </row>
    <row r="5" spans="1:19" x14ac:dyDescent="0.2">
      <c r="A5">
        <v>8</v>
      </c>
      <c r="B5" s="5">
        <v>6.9166666666666668E-2</v>
      </c>
      <c r="C5" s="5"/>
      <c r="D5" s="3">
        <v>0.41240740740740739</v>
      </c>
      <c r="E5" s="3"/>
      <c r="F5" s="2">
        <f t="shared" ref="F5:F6" si="5">D5-B5</f>
        <v>0.34324074074074074</v>
      </c>
      <c r="G5">
        <f t="shared" ref="G5:G7" si="6">HOUR(F5)*60 + MINUTE(F5) + SECOND(F5)/60</f>
        <v>494.26666666666665</v>
      </c>
      <c r="H5">
        <f t="shared" si="0"/>
        <v>6.7122971346354774</v>
      </c>
      <c r="I5" s="10">
        <f t="shared" si="1"/>
        <v>0.83903714182943467</v>
      </c>
      <c r="J5">
        <v>8</v>
      </c>
      <c r="K5" s="1">
        <v>0.28097222222222223</v>
      </c>
      <c r="L5" s="1">
        <v>0.70516203703703706</v>
      </c>
      <c r="M5" s="1">
        <f t="shared" ref="M5:M7" si="7">L5-K5</f>
        <v>0.42418981481481483</v>
      </c>
      <c r="N5">
        <f t="shared" si="4"/>
        <v>610.83333333333337</v>
      </c>
      <c r="O5">
        <f t="shared" si="2"/>
        <v>6.8497833560709411</v>
      </c>
      <c r="P5" s="10">
        <f t="shared" si="3"/>
        <v>0.85622291950886764</v>
      </c>
    </row>
    <row r="6" spans="1:19" x14ac:dyDescent="0.2">
      <c r="A6">
        <v>16</v>
      </c>
      <c r="B6" s="3">
        <v>6.9398148148148153E-2</v>
      </c>
      <c r="C6" s="3"/>
      <c r="D6" s="3">
        <v>0.26780092592592591</v>
      </c>
      <c r="E6" s="3"/>
      <c r="F6" s="2">
        <f t="shared" si="5"/>
        <v>0.19840277777777776</v>
      </c>
      <c r="G6">
        <f t="shared" si="6"/>
        <v>285.7</v>
      </c>
      <c r="H6">
        <f t="shared" si="0"/>
        <v>11.612407176802574</v>
      </c>
      <c r="I6" s="10">
        <f t="shared" si="1"/>
        <v>0.72577544855016085</v>
      </c>
      <c r="J6">
        <v>16</v>
      </c>
      <c r="K6" s="6">
        <v>0.28113425925925928</v>
      </c>
      <c r="L6" s="1">
        <v>0.55726851851851855</v>
      </c>
      <c r="M6" s="1">
        <f t="shared" si="7"/>
        <v>0.27613425925925927</v>
      </c>
      <c r="N6">
        <f t="shared" si="4"/>
        <v>397.63333333333333</v>
      </c>
      <c r="O6">
        <f t="shared" si="2"/>
        <v>10.522447816246123</v>
      </c>
      <c r="P6" s="10">
        <f t="shared" si="3"/>
        <v>0.65765298851538267</v>
      </c>
    </row>
    <row r="7" spans="1:19" ht="15" x14ac:dyDescent="0.2">
      <c r="A7">
        <v>32</v>
      </c>
      <c r="B7" s="9" t="s">
        <v>4</v>
      </c>
      <c r="C7" s="9"/>
      <c r="D7" s="4" t="s">
        <v>3</v>
      </c>
      <c r="E7" s="4"/>
      <c r="F7" s="2">
        <v>0.12703703703703703</v>
      </c>
      <c r="G7">
        <f t="shared" si="6"/>
        <v>182.93333333333334</v>
      </c>
      <c r="H7">
        <f t="shared" si="0"/>
        <v>18.135922360126614</v>
      </c>
      <c r="I7" s="10">
        <f t="shared" si="1"/>
        <v>0.56674757375395668</v>
      </c>
      <c r="J7">
        <v>32</v>
      </c>
      <c r="K7" s="7">
        <v>0.12474537037037037</v>
      </c>
      <c r="L7" s="8">
        <v>0.29131944444444446</v>
      </c>
      <c r="M7" s="1">
        <f t="shared" si="7"/>
        <v>0.1665740740740741</v>
      </c>
      <c r="N7">
        <f t="shared" si="4"/>
        <v>239.86666666666667</v>
      </c>
      <c r="O7">
        <f t="shared" si="2"/>
        <v>17.443340744858254</v>
      </c>
      <c r="P7" s="10">
        <f t="shared" si="3"/>
        <v>0.54510439827682045</v>
      </c>
    </row>
    <row r="8" spans="1:19" x14ac:dyDescent="0.2">
      <c r="A8">
        <v>48</v>
      </c>
      <c r="J8">
        <v>48</v>
      </c>
      <c r="N8">
        <f t="shared" si="4"/>
        <v>0</v>
      </c>
    </row>
    <row r="15" spans="1:19" x14ac:dyDescent="0.2">
      <c r="B15"/>
      <c r="C15"/>
      <c r="D15"/>
      <c r="E15"/>
      <c r="F15"/>
    </row>
    <row r="16" spans="1:19" x14ac:dyDescent="0.2">
      <c r="A16" t="s">
        <v>0</v>
      </c>
      <c r="B16" t="s">
        <v>12</v>
      </c>
      <c r="C16"/>
      <c r="D16" s="2" t="s">
        <v>16</v>
      </c>
      <c r="E16" s="2" t="s">
        <v>16</v>
      </c>
      <c r="I16" t="s">
        <v>13</v>
      </c>
      <c r="L16" s="14" t="s">
        <v>16</v>
      </c>
      <c r="M16" s="14"/>
      <c r="N16" s="14" t="s">
        <v>28</v>
      </c>
      <c r="O16" s="14"/>
      <c r="P16" s="14"/>
      <c r="R16" t="s">
        <v>5</v>
      </c>
      <c r="S16" t="s">
        <v>6</v>
      </c>
    </row>
    <row r="17" spans="1:19" x14ac:dyDescent="0.2">
      <c r="A17" t="s">
        <v>7</v>
      </c>
      <c r="B17" s="1">
        <v>0.37439814814814815</v>
      </c>
      <c r="C17" s="1">
        <v>0.4520601851851852</v>
      </c>
      <c r="D17" s="2">
        <f>C17-B17</f>
        <v>7.7662037037037057E-2</v>
      </c>
      <c r="E17" s="12">
        <f>1*60+51+50/60</f>
        <v>111.83333333333333</v>
      </c>
      <c r="I17" s="1">
        <v>0.37650462962962961</v>
      </c>
      <c r="J17" s="11" t="s">
        <v>19</v>
      </c>
      <c r="K17" s="11" t="s">
        <v>20</v>
      </c>
      <c r="L17" s="1">
        <v>3.8657407407407408E-3</v>
      </c>
      <c r="M17" s="12">
        <f>HOUR(L17)*60 + MINUTE(L17) + SECOND(L17)/60</f>
        <v>5.5666666666666664</v>
      </c>
      <c r="N17" s="1">
        <v>3.7800925925925925E-2</v>
      </c>
      <c r="O17" s="12">
        <f>HOUR(N17)*60 + MINUTE(N17) + SECOND(N17)/60</f>
        <v>54.43333333333333</v>
      </c>
      <c r="P17">
        <f>O17/10</f>
        <v>5.4433333333333334</v>
      </c>
      <c r="R17">
        <f>E17/M17</f>
        <v>20.089820359281436</v>
      </c>
      <c r="S17">
        <f>R17/48</f>
        <v>0.41853792415169661</v>
      </c>
    </row>
    <row r="18" spans="1:19" x14ac:dyDescent="0.2">
      <c r="A18" t="s">
        <v>11</v>
      </c>
      <c r="B18" s="11" t="s">
        <v>14</v>
      </c>
      <c r="C18" s="11" t="s">
        <v>15</v>
      </c>
      <c r="D18" s="2">
        <v>0.29872685185185183</v>
      </c>
      <c r="E18" s="12">
        <f>7*60+10+10/60</f>
        <v>430.16666666666669</v>
      </c>
      <c r="F18"/>
      <c r="G18" s="13"/>
      <c r="I18" s="11" t="s">
        <v>21</v>
      </c>
      <c r="J18" s="1">
        <v>0.49157407407407405</v>
      </c>
      <c r="K18" s="11" t="s">
        <v>22</v>
      </c>
      <c r="L18" s="1">
        <v>1.4467592592592593E-2</v>
      </c>
      <c r="M18" s="12">
        <f t="shared" ref="M18:M21" si="8">HOUR(L18)*60 + MINUTE(L18) + SECOND(L18)/60</f>
        <v>20.833333333333332</v>
      </c>
      <c r="N18" s="1">
        <v>0.13939814814814816</v>
      </c>
      <c r="O18" s="12">
        <f t="shared" ref="O18:O21" si="9">HOUR(N18)*60 + MINUTE(N18) + SECOND(N18)/60</f>
        <v>200.73333333333332</v>
      </c>
      <c r="P18">
        <f t="shared" ref="P18:P21" si="10">O18/10</f>
        <v>20.073333333333331</v>
      </c>
      <c r="R18">
        <f t="shared" ref="R18:R21" si="11">E18/M18</f>
        <v>20.648000000000003</v>
      </c>
      <c r="S18">
        <f t="shared" ref="S18:S21" si="12">R18/48</f>
        <v>0.43016666666666675</v>
      </c>
    </row>
    <row r="19" spans="1:19" x14ac:dyDescent="0.2">
      <c r="A19" t="s">
        <v>8</v>
      </c>
      <c r="B19" s="1">
        <v>7.6689814814814808E-2</v>
      </c>
      <c r="C19" s="11" t="s">
        <v>17</v>
      </c>
      <c r="D19" s="2">
        <v>0.73243055555555558</v>
      </c>
      <c r="E19" s="12">
        <f>17*60+34+42/60</f>
        <v>1054.7</v>
      </c>
      <c r="I19" s="11" t="s">
        <v>23</v>
      </c>
      <c r="J19" s="1">
        <v>0.11018518518518519</v>
      </c>
      <c r="K19" s="11" t="s">
        <v>24</v>
      </c>
      <c r="L19" s="1">
        <v>3.3518518518518517E-2</v>
      </c>
      <c r="M19" s="12">
        <f t="shared" si="8"/>
        <v>48.266666666666666</v>
      </c>
      <c r="N19" s="1">
        <v>0.32229166666666664</v>
      </c>
      <c r="O19" s="12">
        <f t="shared" si="9"/>
        <v>464.1</v>
      </c>
      <c r="P19">
        <f t="shared" si="10"/>
        <v>46.410000000000004</v>
      </c>
      <c r="R19">
        <f t="shared" si="11"/>
        <v>21.851519337016576</v>
      </c>
      <c r="S19">
        <f t="shared" si="12"/>
        <v>0.45523998618784534</v>
      </c>
    </row>
    <row r="20" spans="1:19" x14ac:dyDescent="0.2">
      <c r="A20" t="s">
        <v>10</v>
      </c>
      <c r="B20" s="11" t="s">
        <v>18</v>
      </c>
      <c r="C20" s="1">
        <v>7.0347222222222228E-2</v>
      </c>
      <c r="D20" s="2">
        <f>(22*60+54+52/60)/0.74528</f>
        <v>1844.765278374123</v>
      </c>
      <c r="E20" s="12">
        <f>(22*60+54+52/60)/0.74528</f>
        <v>1844.765278374123</v>
      </c>
      <c r="I20" s="1">
        <v>0.11627314814814815</v>
      </c>
      <c r="J20" s="11" t="s">
        <v>25</v>
      </c>
      <c r="K20" s="1">
        <v>0.64268518518518514</v>
      </c>
      <c r="L20" s="1">
        <v>5.4212962962962963E-2</v>
      </c>
      <c r="M20" s="12">
        <f t="shared" si="8"/>
        <v>78.066666666666663</v>
      </c>
      <c r="N20" s="1">
        <v>0.52641203703703698</v>
      </c>
      <c r="O20" s="12">
        <f t="shared" si="9"/>
        <v>758.0333333333333</v>
      </c>
      <c r="P20">
        <f t="shared" si="10"/>
        <v>75.803333333333327</v>
      </c>
      <c r="R20">
        <f t="shared" si="11"/>
        <v>23.630639774220192</v>
      </c>
      <c r="S20">
        <f t="shared" si="12"/>
        <v>0.49230499529625399</v>
      </c>
    </row>
    <row r="21" spans="1:19" x14ac:dyDescent="0.2">
      <c r="A21" t="s">
        <v>9</v>
      </c>
      <c r="B21"/>
      <c r="C21"/>
      <c r="E21" s="12">
        <v>3317.6647304124954</v>
      </c>
      <c r="F21"/>
      <c r="I21" s="11" t="s">
        <v>26</v>
      </c>
      <c r="J21" s="11" t="s">
        <v>27</v>
      </c>
      <c r="K21" s="1">
        <v>0.34949074074074077</v>
      </c>
      <c r="L21" s="1">
        <v>0.10587962962962963</v>
      </c>
      <c r="M21" s="12">
        <f t="shared" si="8"/>
        <v>152.46666666666667</v>
      </c>
      <c r="N21" s="1" t="s">
        <v>29</v>
      </c>
      <c r="O21" s="12">
        <f>25*60 + 54 + 44/60</f>
        <v>1554.7333333333333</v>
      </c>
      <c r="P21">
        <f t="shared" si="10"/>
        <v>155.47333333333333</v>
      </c>
      <c r="R21">
        <f t="shared" si="11"/>
        <v>21.759934829990129</v>
      </c>
      <c r="S21">
        <f t="shared" si="12"/>
        <v>0.45333197562479438</v>
      </c>
    </row>
    <row r="22" spans="1:19" ht="15" thickBot="1" x14ac:dyDescent="0.25">
      <c r="B22"/>
      <c r="C22"/>
    </row>
    <row r="23" spans="1:19" x14ac:dyDescent="0.2">
      <c r="B23" s="18">
        <f>1*60+51+50/60</f>
        <v>111.83333333333333</v>
      </c>
      <c r="C23" s="15">
        <v>5.5666666669999998</v>
      </c>
      <c r="D23" s="15">
        <v>5.443333</v>
      </c>
      <c r="E23" s="18">
        <v>20.089820359281436</v>
      </c>
      <c r="F23" s="18">
        <v>0.41853792415169661</v>
      </c>
    </row>
    <row r="24" spans="1:19" x14ac:dyDescent="0.2">
      <c r="B24" s="18">
        <f>7*60+10+10/60</f>
        <v>430.16666666666669</v>
      </c>
      <c r="C24" s="16">
        <v>20.833333329999999</v>
      </c>
      <c r="D24" s="16">
        <v>20.073329999999999</v>
      </c>
      <c r="E24" s="18">
        <v>20.648000000000003</v>
      </c>
      <c r="F24" s="18">
        <v>0.43016666666666675</v>
      </c>
    </row>
    <row r="25" spans="1:19" x14ac:dyDescent="0.2">
      <c r="B25" s="18">
        <f>17*60+34+42/60</f>
        <v>1054.7</v>
      </c>
      <c r="C25" s="16">
        <v>48.266666669999999</v>
      </c>
      <c r="D25" s="16">
        <v>46.41</v>
      </c>
      <c r="E25" s="18">
        <v>21.851519337016576</v>
      </c>
      <c r="F25" s="18">
        <v>0.45523998618784534</v>
      </c>
    </row>
    <row r="26" spans="1:19" x14ac:dyDescent="0.2">
      <c r="B26" s="18">
        <f>(22*60+54+52/60)/0.74528</f>
        <v>1844.765278374123</v>
      </c>
      <c r="C26" s="16">
        <v>78.066666670000004</v>
      </c>
      <c r="D26" s="16">
        <v>75.803330000000003</v>
      </c>
      <c r="E26" s="18">
        <v>23.630639774220192</v>
      </c>
      <c r="F26" s="18">
        <v>0.49230499529625399</v>
      </c>
    </row>
    <row r="27" spans="1:19" ht="15" thickBot="1" x14ac:dyDescent="0.25">
      <c r="B27" s="18">
        <v>3317.6647304124954</v>
      </c>
      <c r="C27" s="17">
        <v>152.46666669999999</v>
      </c>
      <c r="D27" s="17">
        <v>155.47329999999999</v>
      </c>
      <c r="E27" s="18">
        <v>21.759934829990129</v>
      </c>
      <c r="F27" s="18">
        <v>0.45333197562479438</v>
      </c>
      <c r="I27">
        <v>4.1875</v>
      </c>
      <c r="J27">
        <v>3.8125</v>
      </c>
      <c r="K27">
        <f>I27-J27</f>
        <v>0.375</v>
      </c>
    </row>
    <row r="28" spans="1:19" x14ac:dyDescent="0.2">
      <c r="I28">
        <v>4.1855200000000004</v>
      </c>
    </row>
    <row r="29" spans="1:19" x14ac:dyDescent="0.2">
      <c r="I29">
        <f>I27-I28</f>
        <v>1.9799999999996487E-3</v>
      </c>
      <c r="K29">
        <f>I29/K27</f>
        <v>5.2799999999990632E-3</v>
      </c>
    </row>
  </sheetData>
  <mergeCells count="2">
    <mergeCell ref="L16:M16"/>
    <mergeCell ref="N16:P1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Zhuhao Gu</dc:creator>
  <cp:lastModifiedBy>Zhuhao Gu</cp:lastModifiedBy>
  <dcterms:created xsi:type="dcterms:W3CDTF">2025-09-09T08:09:06Z</dcterms:created>
  <dcterms:modified xsi:type="dcterms:W3CDTF">2025-09-22T06:05:20Z</dcterms:modified>
</cp:coreProperties>
</file>